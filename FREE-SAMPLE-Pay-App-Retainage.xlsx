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 Sample" sheetId="1" state="visible" r:id="rId1"/>
    <sheet xmlns:r="http://schemas.openxmlformats.org/officeDocument/2006/relationships" name="Pay App Sample" sheetId="2" state="visible" r:id="rId2"/>
    <sheet xmlns:r="http://schemas.openxmlformats.org/officeDocument/2006/relationships" name="Lien Deadlines 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indent="1"/>
    </xf>
    <xf numFmtId="0" fontId="2" fillId="0" borderId="0" applyAlignment="1" pivotButton="0" quotePrefix="0" xfId="0">
      <alignment indent="1"/>
    </xf>
    <xf numFmtId="0" fontId="3" fillId="2" borderId="1" applyAlignment="1" pivotButton="0" quotePrefix="0" xfId="0">
      <alignment vertical="center" wrapText="1" indent="1"/>
    </xf>
    <xf numFmtId="0" fontId="0" fillId="0" borderId="1" applyAlignment="1" pivotButton="0" quotePrefix="0" xfId="0">
      <alignment indent="1"/>
    </xf>
    <xf numFmtId="4" fontId="0" fillId="0" borderId="1" applyAlignment="1" pivotButton="0" quotePrefix="0" xfId="0">
      <alignment indent="1"/>
    </xf>
    <xf numFmtId="9" fontId="0" fillId="0" borderId="1" applyAlignment="1" pivotButton="0" quotePrefix="0" xfId="0">
      <alignment indent="1"/>
    </xf>
    <xf numFmtId="164" fontId="0" fillId="0" borderId="1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5" customWidth="1" min="3" max="3"/>
    <col width="12" customWidth="1" min="4" max="4"/>
    <col width="15" customWidth="1" min="5" max="5"/>
    <col width="15" customWidth="1" min="6" max="6"/>
    <col width="12" customWidth="1" min="7" max="7"/>
    <col width="17" customWidth="1" min="8" max="8"/>
    <col width="19" customWidth="1" min="9" max="9"/>
  </cols>
  <sheetData>
    <row r="1">
      <c r="A1" s="1" t="inlineStr">
        <is>
          <t>FREE SAMPLE — Schedule of Values (EXAMPLE)</t>
        </is>
      </c>
    </row>
    <row r="2">
      <c r="A2" s="2" t="inlineStr">
        <is>
          <t>EXAMPLE — sample data. Replace with your own.</t>
        </is>
      </c>
    </row>
    <row r="3">
      <c r="A3" s="3" t="inlineStr">
        <is>
          <t>Project ID</t>
        </is>
      </c>
      <c r="B3" s="3" t="inlineStr">
        <is>
          <t>Description</t>
        </is>
      </c>
      <c r="C3" s="3" t="inlineStr">
        <is>
          <t>Contract Value</t>
        </is>
      </c>
      <c r="D3" s="3" t="inlineStr">
        <is>
          <t>% Complete</t>
        </is>
      </c>
      <c r="E3" s="3" t="inlineStr">
        <is>
          <t>Earned to Date</t>
        </is>
      </c>
      <c r="F3" s="3" t="inlineStr">
        <is>
          <t>Stored Materials</t>
        </is>
      </c>
      <c r="G3" s="3" t="inlineStr">
        <is>
          <t>Retainage %</t>
        </is>
      </c>
      <c r="H3" s="3" t="inlineStr">
        <is>
          <t>Retainage Withheld</t>
        </is>
      </c>
      <c r="I3" s="3" t="inlineStr">
        <is>
          <t>Total Earned + Stored</t>
        </is>
      </c>
    </row>
    <row r="4">
      <c r="A4" s="4" t="inlineStr">
        <is>
          <t>P-001</t>
        </is>
      </c>
      <c r="B4" s="4" t="inlineStr">
        <is>
          <t>Mobilization &amp; general conditions</t>
        </is>
      </c>
      <c r="C4" s="5" t="n">
        <v>18500</v>
      </c>
      <c r="D4" s="6" t="n">
        <v>1</v>
      </c>
      <c r="E4" s="5">
        <f>IFERROR(C4*D4,"")</f>
        <v/>
      </c>
      <c r="F4" s="5" t="n">
        <v>0</v>
      </c>
      <c r="G4" s="6" t="n">
        <v>0.1</v>
      </c>
      <c r="H4" s="5">
        <f>IFERROR((E4+F4)*G4,"")</f>
        <v/>
      </c>
      <c r="I4" s="5">
        <f>IFERROR(E4+F4,"")</f>
        <v/>
      </c>
    </row>
    <row r="5">
      <c r="A5" s="4" t="inlineStr">
        <is>
          <t>P-001</t>
        </is>
      </c>
      <c r="B5" s="4" t="inlineStr">
        <is>
          <t>Conduit &amp; rough-in</t>
        </is>
      </c>
      <c r="C5" s="5" t="n">
        <v>52000</v>
      </c>
      <c r="D5" s="6" t="n">
        <v>0.8</v>
      </c>
      <c r="E5" s="5">
        <f>IFERROR(C5*D5,"")</f>
        <v/>
      </c>
      <c r="F5" s="5" t="n">
        <v>0</v>
      </c>
      <c r="G5" s="6" t="n">
        <v>0.1</v>
      </c>
      <c r="H5" s="5">
        <f>IFERROR((E5+F5)*G5,"")</f>
        <v/>
      </c>
      <c r="I5" s="5">
        <f>IFERROR(E5+F5,"")</f>
        <v/>
      </c>
    </row>
    <row r="6">
      <c r="A6" s="4" t="inlineStr">
        <is>
          <t>P-001</t>
        </is>
      </c>
      <c r="B6" s="4" t="inlineStr">
        <is>
          <t>Wire, devices &amp; fixtures</t>
        </is>
      </c>
      <c r="C6" s="5" t="n">
        <v>68400</v>
      </c>
      <c r="D6" s="6" t="n">
        <v>0.45</v>
      </c>
      <c r="E6" s="5">
        <f>IFERROR(C6*D6,"")</f>
        <v/>
      </c>
      <c r="F6" s="5" t="n">
        <v>8400</v>
      </c>
      <c r="G6" s="6" t="n">
        <v>0.1</v>
      </c>
      <c r="H6" s="5">
        <f>IFERROR((E6+F6)*G6,"")</f>
        <v/>
      </c>
      <c r="I6" s="5">
        <f>IFERROR(E6+F6,"")</f>
        <v/>
      </c>
    </row>
  </sheetData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7" customWidth="1" min="4" max="4"/>
    <col width="17" customWidth="1" min="5" max="5"/>
    <col width="12" customWidth="1" min="6" max="6"/>
    <col width="17" customWidth="1" min="7" max="7"/>
    <col width="17" customWidth="1" min="8" max="8"/>
    <col width="13" customWidth="1" min="9" max="9"/>
  </cols>
  <sheetData>
    <row r="1">
      <c r="A1" s="1" t="inlineStr">
        <is>
          <t>FREE SAMPLE — Pay Applications (EXAMPLE)</t>
        </is>
      </c>
    </row>
    <row r="2">
      <c r="A2" s="2" t="inlineStr">
        <is>
          <t>EXAMPLE — sample data. Replace with your own.</t>
        </is>
      </c>
    </row>
    <row r="3">
      <c r="A3" s="3" t="inlineStr">
        <is>
          <t>App #</t>
        </is>
      </c>
      <c r="B3" s="3" t="inlineStr">
        <is>
          <t>Project ID</t>
        </is>
      </c>
      <c r="C3" s="3" t="inlineStr">
        <is>
          <t>Period End</t>
        </is>
      </c>
      <c r="D3" s="3" t="inlineStr">
        <is>
          <t>Gross Earned This Period</t>
        </is>
      </c>
      <c r="E3" s="3" t="inlineStr">
        <is>
          <t>Stored Materials This Period</t>
        </is>
      </c>
      <c r="F3" s="3" t="inlineStr">
        <is>
          <t>Retainage %</t>
        </is>
      </c>
      <c r="G3" s="3" t="inlineStr">
        <is>
          <t>Retainage Withheld</t>
        </is>
      </c>
      <c r="H3" s="3" t="inlineStr">
        <is>
          <t>Amount Due This Period</t>
        </is>
      </c>
      <c r="I3" s="3" t="inlineStr">
        <is>
          <t>Status</t>
        </is>
      </c>
    </row>
    <row r="4">
      <c r="A4" s="4" t="n">
        <v>1</v>
      </c>
      <c r="B4" s="4" t="inlineStr">
        <is>
          <t>P-001</t>
        </is>
      </c>
      <c r="C4" s="7" t="n">
        <v>46265</v>
      </c>
      <c r="D4" s="5" t="n">
        <v>60100</v>
      </c>
      <c r="E4" s="5" t="n">
        <v>0</v>
      </c>
      <c r="F4" s="6" t="n">
        <v>0.1</v>
      </c>
      <c r="G4" s="5">
        <f>IFERROR((D4+E4)*F4,"")</f>
        <v/>
      </c>
      <c r="H4" s="5">
        <f>IFERROR(D4+E4-G4,"")</f>
        <v/>
      </c>
      <c r="I4" s="4" t="inlineStr">
        <is>
          <t>Paid</t>
        </is>
      </c>
    </row>
    <row r="5">
      <c r="A5" s="4" t="n">
        <v>2</v>
      </c>
      <c r="B5" s="4" t="inlineStr">
        <is>
          <t>P-001</t>
        </is>
      </c>
      <c r="C5" s="7" t="n">
        <v>46295</v>
      </c>
      <c r="D5" s="5" t="n">
        <v>49440</v>
      </c>
      <c r="E5" s="5" t="n">
        <v>20900</v>
      </c>
      <c r="F5" s="6" t="n">
        <v>0.1</v>
      </c>
      <c r="G5" s="5">
        <f>IFERROR((D5+E5)*F5,"")</f>
        <v/>
      </c>
      <c r="H5" s="5">
        <f>IFERROR(D5+E5-G5,"")</f>
        <v/>
      </c>
      <c r="I5" s="4" t="inlineStr">
        <is>
          <t>Submitted</t>
        </is>
      </c>
    </row>
  </sheetData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20" customWidth="1" min="3" max="3"/>
    <col width="14" customWidth="1" min="4" max="4"/>
    <col width="30" customWidth="1" min="5" max="5"/>
    <col width="14" customWidth="1" min="6" max="6"/>
  </cols>
  <sheetData>
    <row r="1">
      <c r="A1" s="1" t="inlineStr">
        <is>
          <t>FREE SAMPLE — Lien Deadlines (EXAMPLE)</t>
        </is>
      </c>
    </row>
    <row r="2">
      <c r="A2" s="2" t="inlineStr">
        <is>
          <t>EXAMPLE — sample data. Deadlines are USER-ENTERED. This kit is NOT legal advice.</t>
        </is>
      </c>
    </row>
    <row r="3">
      <c r="A3" s="3" t="inlineStr">
        <is>
          <t>Project ID</t>
        </is>
      </c>
      <c r="B3" s="3" t="inlineStr">
        <is>
          <t>Deadline Type</t>
        </is>
      </c>
      <c r="C3" s="3" t="inlineStr">
        <is>
          <t>Deadline Date (USER-ENTERED)</t>
        </is>
      </c>
      <c r="D3" s="3" t="inlineStr">
        <is>
          <t>Days Remaining</t>
        </is>
      </c>
      <c r="E3" s="3" t="inlineStr">
        <is>
          <t>Alert</t>
        </is>
      </c>
      <c r="F3" s="3" t="inlineStr">
        <is>
          <t>Status</t>
        </is>
      </c>
    </row>
    <row r="4">
      <c r="A4" s="4" t="inlineStr">
        <is>
          <t>P-001</t>
        </is>
      </c>
      <c r="B4" s="4" t="inlineStr">
        <is>
          <t>Lien deadline — Riverside Office Fit-Out (EXAMPLE)</t>
        </is>
      </c>
      <c r="C4" s="7" t="n">
        <v>46461</v>
      </c>
      <c r="D4" s="4">
        <f>IF(C4="","",IFERROR(C4-TODAY(),""))</f>
        <v/>
      </c>
      <c r="E4" s="4">
        <f>IF(D4="","",IF(D4&lt;0,"OVERDUE — DEADLINE PASSED",IF(D4&lt;=7,"URGENT — 7 DAYS OR LESS",IF(D4&lt;=14,"DUE WITHIN 14 DAYS",IF(D4&lt;=30,"DUE WITHIN 30 DAYS","ON TRACK")))))</f>
        <v/>
      </c>
      <c r="F4" s="4">
        <f>IF(D4="","",IF(D4&lt;0,"MISSED",IF(D4&lt;=14,"ACT NOW","TRACKING")))</f>
        <v/>
      </c>
    </row>
    <row r="5">
      <c r="A5" s="4" t="inlineStr">
        <is>
          <t>P-001</t>
        </is>
      </c>
      <c r="B5" s="4" t="inlineStr">
        <is>
          <t>Preliminary notice follow-up — Riverside (EXAMPLE)</t>
        </is>
      </c>
      <c r="C5" s="7" t="n">
        <v>46325</v>
      </c>
      <c r="D5" s="4">
        <f>IF(C5="","",IFERROR(C5-TODAY(),""))</f>
        <v/>
      </c>
      <c r="E5" s="4">
        <f>IF(D5="","",IF(D5&lt;0,"OVERDUE — DEADLINE PASSED",IF(D5&lt;=7,"URGENT — 7 DAYS OR LESS",IF(D5&lt;=14,"DUE WITHIN 14 DAYS",IF(D5&lt;=30,"DUE WITHIN 30 DAYS","ON TRACK")))))</f>
        <v/>
      </c>
      <c r="F5" s="4">
        <f>IF(D5="","",IF(D5&lt;0,"MISSED",IF(D5&lt;=14,"ACT NOW","TRACKING")))</f>
        <v/>
      </c>
    </row>
  </sheetData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2026-10-18T09:15:12+00:00Z</dcterms:created>
  <dcterms:modified xmlns:dcterms="http://purl.org/dc/terms/" xmlns:xsi="http://www.w3.org/2001/XMLSchema-instance" xsi:type="dcterms:W3CDTF">2026-10-18T09:15:12+00:00Z</dcterms:modified>
</cp:coreProperties>
</file>